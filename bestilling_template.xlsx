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name="Ark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color theme="1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color theme="1"/>
      <sz val="11"/>
    </font>
    <font>
      <name val="Aptos Narrow"/>
      <color theme="1"/>
      <sz val="11"/>
    </font>
    <font>
      <name val="Calibri"/>
      <b val="1"/>
      <color theme="1"/>
      <sz val="11"/>
    </font>
    <font>
      <name val="Aptos Narrow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C4D79B"/>
        <bgColor rgb="FFC4D79B"/>
      </patternFill>
    </fill>
    <fill>
      <patternFill patternType="solid">
        <fgColor rgb="FFC00000"/>
        <bgColor rgb="FFC00000"/>
      </patternFill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3"/>
  </cellStyleXfs>
  <cellXfs count="39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1" fontId="2" fillId="2" borderId="2" pivotButton="0" quotePrefix="0" xfId="0"/>
    <xf numFmtId="0" fontId="2" fillId="2" borderId="3" pivotButton="0" quotePrefix="0" xfId="0"/>
    <xf numFmtId="1" fontId="2" fillId="2" borderId="4" pivotButton="0" quotePrefix="0" xfId="0"/>
    <xf numFmtId="0" fontId="2" fillId="2" borderId="5" pivotButton="0" quotePrefix="0" xfId="0"/>
    <xf numFmtId="0" fontId="2" fillId="2" borderId="6" pivotButton="0" quotePrefix="0" xfId="0"/>
    <xf numFmtId="16" fontId="2" fillId="2" borderId="6" pivotButton="0" quotePrefix="0" xfId="0"/>
    <xf numFmtId="1" fontId="2" fillId="2" borderId="7" pivotButton="0" quotePrefix="0" xfId="0"/>
    <xf numFmtId="0" fontId="3" fillId="0" borderId="8" applyAlignment="1" pivotButton="0" quotePrefix="0" xfId="0">
      <alignment horizontal="right"/>
    </xf>
    <xf numFmtId="0" fontId="3" fillId="0" borderId="8" pivotButton="0" quotePrefix="0" xfId="0"/>
    <xf numFmtId="2" fontId="3" fillId="0" borderId="9" applyAlignment="1" pivotButton="0" quotePrefix="0" xfId="0">
      <alignment horizontal="right"/>
    </xf>
    <xf numFmtId="0" fontId="4" fillId="0" borderId="8" pivotButton="0" quotePrefix="0" xfId="0"/>
    <xf numFmtId="3" fontId="3" fillId="0" borderId="10" applyAlignment="1" pivotButton="0" quotePrefix="0" xfId="0">
      <alignment horizontal="right"/>
    </xf>
    <xf numFmtId="2" fontId="2" fillId="0" borderId="8" pivotButton="0" quotePrefix="0" xfId="0"/>
    <xf numFmtId="2" fontId="4" fillId="0" borderId="9" pivotButton="0" quotePrefix="0" xfId="0"/>
    <xf numFmtId="2" fontId="3" fillId="0" borderId="11" applyAlignment="1" pivotButton="0" quotePrefix="0" xfId="0">
      <alignment horizontal="right"/>
    </xf>
    <xf numFmtId="3" fontId="4" fillId="0" borderId="10" pivotButton="0" quotePrefix="0" xfId="0"/>
    <xf numFmtId="0" fontId="5" fillId="0" borderId="8" pivotButton="0" quotePrefix="0" xfId="0"/>
    <xf numFmtId="0" fontId="5" fillId="0" borderId="8" applyAlignment="1" pivotButton="0" quotePrefix="0" xfId="0">
      <alignment horizontal="right"/>
    </xf>
    <xf numFmtId="3" fontId="5" fillId="0" borderId="8" applyAlignment="1" pivotButton="0" quotePrefix="0" xfId="0">
      <alignment horizontal="right"/>
    </xf>
    <xf numFmtId="2" fontId="1" fillId="0" borderId="8" pivotButton="0" quotePrefix="0" xfId="0"/>
    <xf numFmtId="0" fontId="4" fillId="3" borderId="8" pivotButton="0" quotePrefix="0" xfId="0"/>
    <xf numFmtId="1" fontId="2" fillId="0" borderId="8" pivotButton="0" quotePrefix="0" xfId="0"/>
    <xf numFmtId="0" fontId="4" fillId="4" borderId="7" pivotButton="0" quotePrefix="0" xfId="0"/>
    <xf numFmtId="0" fontId="4" fillId="0" borderId="12" pivotButton="0" quotePrefix="0" xfId="0"/>
    <xf numFmtId="0" fontId="4" fillId="0" borderId="13" pivotButton="0" quotePrefix="0" xfId="0"/>
    <xf numFmtId="0" fontId="3" fillId="0" borderId="12" applyAlignment="1" pivotButton="0" quotePrefix="0" xfId="0">
      <alignment horizontal="right"/>
    </xf>
    <xf numFmtId="2" fontId="2" fillId="0" borderId="12" pivotButton="0" quotePrefix="0" xfId="0"/>
    <xf numFmtId="1" fontId="2" fillId="0" borderId="12" pivotButton="0" quotePrefix="0" xfId="0"/>
    <xf numFmtId="0" fontId="1" fillId="0" borderId="8" pivotButton="0" quotePrefix="0" xfId="0"/>
    <xf numFmtId="2" fontId="0" fillId="0" borderId="0" pivotButton="0" quotePrefix="0" xfId="0"/>
    <xf numFmtId="0" fontId="6" fillId="0" borderId="14" pivotButton="0" quotePrefix="0" xfId="0"/>
    <xf numFmtId="0" fontId="6" fillId="0" borderId="0" pivotButton="0" quotePrefix="0" xfId="0"/>
    <xf numFmtId="0" fontId="4" fillId="4" borderId="13" pivotButton="0" quotePrefix="0" xfId="0"/>
    <xf numFmtId="0" fontId="4" fillId="0" borderId="3" pivotButton="0" quotePrefix="0" xfId="0"/>
    <xf numFmtId="0" fontId="2" fillId="0" borderId="8" pivotButton="0" quotePrefix="0" xfId="0"/>
    <xf numFmtId="0" fontId="2" fillId="0" borderId="1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"/>
  <sheetViews>
    <sheetView tabSelected="1" workbookViewId="0">
      <selection activeCell="B64" sqref="B64:B66"/>
    </sheetView>
  </sheetViews>
  <sheetFormatPr baseColWidth="8" defaultColWidth="12.7109375" defaultRowHeight="15" customHeight="1"/>
  <cols>
    <col width="18.85546875" customWidth="1" min="1" max="2"/>
    <col width="33.140625" customWidth="1" min="3" max="3"/>
    <col width="16.7109375" customWidth="1" min="4" max="4"/>
    <col width="8.85546875" customWidth="1" min="5" max="12"/>
    <col width="23.85546875" customWidth="1" min="13" max="13"/>
    <col width="8.85546875" customWidth="1" min="14" max="27"/>
  </cols>
  <sheetData>
    <row r="1">
      <c r="A1" s="1" t="n"/>
      <c r="B1" s="1" t="n"/>
      <c r="C1" s="1" t="inlineStr">
        <is>
          <t>Organic Market</t>
        </is>
      </c>
      <c r="D1" s="1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>
      <c r="A2" s="4" t="inlineStr">
        <is>
          <t>Uge 21</t>
        </is>
      </c>
      <c r="B2" s="4" t="n"/>
      <c r="C2" s="4" t="inlineStr">
        <is>
          <t>VARETYPE</t>
        </is>
      </c>
      <c r="D2" s="4" t="inlineStr">
        <is>
          <t>Pris ex moms</t>
        </is>
      </c>
      <c r="E2" s="4" t="inlineStr">
        <is>
          <t>Mandag</t>
        </is>
      </c>
      <c r="F2" s="4" t="inlineStr">
        <is>
          <t>Tirsdag</t>
        </is>
      </c>
      <c r="G2" s="4" t="inlineStr">
        <is>
          <t>Onsdag</t>
        </is>
      </c>
      <c r="H2" s="4" t="inlineStr">
        <is>
          <t>Torsdag</t>
        </is>
      </c>
      <c r="I2" s="4" t="inlineStr">
        <is>
          <t>Fredag</t>
        </is>
      </c>
      <c r="J2" s="4" t="inlineStr">
        <is>
          <t xml:space="preserve">Lørdag </t>
        </is>
      </c>
      <c r="K2" s="4" t="inlineStr">
        <is>
          <t>Søndag</t>
        </is>
      </c>
      <c r="L2" s="4" t="inlineStr">
        <is>
          <t>Total</t>
        </is>
      </c>
      <c r="M2" s="5" t="inlineStr">
        <is>
          <t>Pris ex moms</t>
        </is>
      </c>
    </row>
    <row r="3">
      <c r="A3" s="6" t="n"/>
      <c r="B3" s="4" t="n"/>
      <c r="C3" s="1" t="n"/>
      <c r="D3" s="7" t="n"/>
      <c r="E3" s="8" t="inlineStr">
        <is>
          <t> </t>
        </is>
      </c>
      <c r="F3" s="8" t="inlineStr">
        <is>
          <t> </t>
        </is>
      </c>
      <c r="G3" s="8" t="inlineStr">
        <is>
          <t> </t>
        </is>
      </c>
      <c r="H3" s="8" t="inlineStr">
        <is>
          <t> </t>
        </is>
      </c>
      <c r="I3" s="8" t="inlineStr">
        <is>
          <t> </t>
        </is>
      </c>
      <c r="J3" s="8" t="inlineStr">
        <is>
          <t> </t>
        </is>
      </c>
      <c r="K3" s="8" t="inlineStr">
        <is>
          <t> </t>
        </is>
      </c>
      <c r="L3" s="7" t="n"/>
      <c r="M3" s="9" t="n"/>
    </row>
    <row r="4">
      <c r="A4" s="10" t="n">
        <v>4</v>
      </c>
      <c r="B4" s="37" t="n">
        <v>10040</v>
      </c>
      <c r="C4" s="11" t="inlineStr">
        <is>
          <t>ØKO - Hvedebrød</t>
        </is>
      </c>
      <c r="D4" s="12" t="n">
        <v>24.2</v>
      </c>
      <c r="E4" s="13" t="n">
        <v>4</v>
      </c>
      <c r="F4" s="13" t="n">
        <v>4</v>
      </c>
      <c r="G4" s="13" t="n">
        <v>4</v>
      </c>
      <c r="H4" s="13" t="n">
        <v>6</v>
      </c>
      <c r="I4" s="13" t="n">
        <v>8</v>
      </c>
      <c r="J4" s="13" t="n">
        <v>18</v>
      </c>
      <c r="K4" s="13" t="n">
        <v>15</v>
      </c>
      <c r="L4" s="14">
        <f>SUM(E4:K4)</f>
        <v/>
      </c>
      <c r="M4" s="15">
        <f>D4*L4</f>
        <v/>
      </c>
    </row>
    <row r="5">
      <c r="A5" s="10" t="n">
        <v>3</v>
      </c>
      <c r="B5" s="37" t="n">
        <v>10081</v>
      </c>
      <c r="C5" s="11" t="inlineStr">
        <is>
          <t xml:space="preserve">ØKO - Landbrød </t>
        </is>
      </c>
      <c r="D5" s="12" t="n">
        <v>27.3</v>
      </c>
      <c r="E5" s="13" t="n"/>
      <c r="F5" s="13" t="n"/>
      <c r="G5" s="13" t="n"/>
      <c r="H5" s="13" t="n"/>
      <c r="I5" s="13" t="n"/>
      <c r="J5" s="13" t="n"/>
      <c r="K5" s="13" t="n"/>
      <c r="L5" s="14">
        <f>SUM(E5:K5)</f>
        <v/>
      </c>
      <c r="M5" s="15">
        <f>D5*L5</f>
        <v/>
      </c>
    </row>
    <row r="6">
      <c r="A6" s="10" t="n">
        <v>4</v>
      </c>
      <c r="B6" s="37" t="n">
        <v>10043</v>
      </c>
      <c r="C6" s="11" t="inlineStr">
        <is>
          <t>ØKO - Kernebrød</t>
        </is>
      </c>
      <c r="D6" s="12" t="n">
        <v>24.96</v>
      </c>
      <c r="E6" s="13" t="n"/>
      <c r="F6" s="13" t="n"/>
      <c r="G6" s="13" t="n"/>
      <c r="H6" s="13" t="n"/>
      <c r="I6" s="13" t="n">
        <v>4</v>
      </c>
      <c r="J6" s="13" t="n">
        <v>10</v>
      </c>
      <c r="K6" s="13" t="n">
        <v>6</v>
      </c>
      <c r="L6" s="14">
        <f>SUM(E6:K6)</f>
        <v/>
      </c>
      <c r="M6" s="15">
        <f>D6*L6</f>
        <v/>
      </c>
    </row>
    <row r="7">
      <c r="A7" s="10" t="n">
        <v>4</v>
      </c>
      <c r="B7" s="37" t="n">
        <v>10044</v>
      </c>
      <c r="C7" s="11" t="inlineStr">
        <is>
          <t>ØKO - Hvedebrød, m/ birkes</t>
        </is>
      </c>
      <c r="D7" s="12" t="n">
        <v>25.58</v>
      </c>
      <c r="E7" s="13" t="n">
        <v>2</v>
      </c>
      <c r="F7" s="13" t="n">
        <v>2</v>
      </c>
      <c r="G7" s="13" t="n">
        <v>2</v>
      </c>
      <c r="H7" s="13" t="n">
        <v>4</v>
      </c>
      <c r="I7" s="13" t="n">
        <v>4</v>
      </c>
      <c r="J7" s="13" t="n">
        <v>9</v>
      </c>
      <c r="K7" s="13" t="n">
        <v>6</v>
      </c>
      <c r="L7" s="14">
        <f>SUM(E7:K7)</f>
        <v/>
      </c>
      <c r="M7" s="15">
        <f>D7*L7</f>
        <v/>
      </c>
    </row>
    <row r="8">
      <c r="A8" s="10" t="n">
        <v>4</v>
      </c>
      <c r="B8" s="37" t="n">
        <v>11158</v>
      </c>
      <c r="C8" s="11" t="inlineStr">
        <is>
          <t>ØKO - Ciabattaflute</t>
        </is>
      </c>
      <c r="D8" s="12" t="n">
        <v>20.04</v>
      </c>
      <c r="E8" s="13" t="n"/>
      <c r="F8" s="13" t="n"/>
      <c r="G8" s="13" t="n"/>
      <c r="H8" s="13" t="n"/>
      <c r="I8" s="13" t="n">
        <v>4</v>
      </c>
      <c r="J8" s="13" t="n">
        <v>6</v>
      </c>
      <c r="K8" s="13" t="n">
        <v>5</v>
      </c>
      <c r="L8" s="14">
        <f>SUM(E8:K8)</f>
        <v/>
      </c>
      <c r="M8" s="15">
        <f>D8*L8</f>
        <v/>
      </c>
    </row>
    <row r="9">
      <c r="A9" s="13" t="inlineStr"/>
      <c r="B9" s="13" t="n"/>
      <c r="C9" s="13" t="inlineStr"/>
      <c r="D9" s="16" t="n"/>
      <c r="E9" s="13" t="n"/>
      <c r="F9" s="13" t="n"/>
      <c r="G9" s="13" t="n"/>
      <c r="H9" s="13" t="n"/>
      <c r="I9" s="13" t="n"/>
      <c r="J9" s="13" t="n"/>
      <c r="K9" s="13" t="n"/>
      <c r="L9" s="14">
        <f>SUM(E9:K9)</f>
        <v/>
      </c>
      <c r="M9" s="15">
        <f>D9*L9</f>
        <v/>
      </c>
    </row>
    <row r="10">
      <c r="A10" s="13" t="inlineStr"/>
      <c r="B10" s="37" t="n">
        <v>13850</v>
      </c>
      <c r="C10" s="11" t="inlineStr">
        <is>
          <t xml:space="preserve">ØKO - Signatur Brød </t>
        </is>
      </c>
      <c r="D10" s="12" t="n">
        <v>28.93</v>
      </c>
      <c r="E10" s="13" t="n"/>
      <c r="F10" s="13" t="n">
        <v>2</v>
      </c>
      <c r="G10" s="13" t="n">
        <v>2</v>
      </c>
      <c r="H10" s="13" t="n">
        <v>5</v>
      </c>
      <c r="I10" s="13" t="n">
        <v>4</v>
      </c>
      <c r="J10" s="13" t="n">
        <v>10</v>
      </c>
      <c r="K10" s="13" t="n">
        <v>8</v>
      </c>
      <c r="L10" s="14">
        <f>SUM(E10:K10)</f>
        <v/>
      </c>
      <c r="M10" s="15">
        <f>D10*L10</f>
        <v/>
      </c>
    </row>
    <row r="11">
      <c r="A11" s="13" t="inlineStr"/>
      <c r="B11" s="13" t="n"/>
      <c r="C11" s="13" t="inlineStr"/>
      <c r="D11" s="16" t="n"/>
      <c r="E11" s="13" t="n"/>
      <c r="F11" s="13" t="n"/>
      <c r="G11" s="13" t="n"/>
      <c r="H11" s="13" t="n"/>
      <c r="I11" s="13" t="n"/>
      <c r="J11" s="13" t="n"/>
      <c r="K11" s="13" t="n"/>
      <c r="L11" s="14">
        <f>SUM(E11:K11)</f>
        <v/>
      </c>
      <c r="M11" s="15">
        <f>D11*L11</f>
        <v/>
      </c>
    </row>
    <row r="12">
      <c r="A12" s="13" t="n"/>
      <c r="B12" s="13" t="n"/>
      <c r="C12" s="13" t="inlineStr"/>
      <c r="D12" s="16" t="n"/>
      <c r="E12" s="13" t="n"/>
      <c r="F12" s="13" t="n"/>
      <c r="G12" s="13" t="n"/>
      <c r="H12" s="13" t="n"/>
      <c r="I12" s="13" t="n"/>
      <c r="J12" s="13" t="n"/>
      <c r="K12" s="13" t="n"/>
      <c r="L12" s="14">
        <f>SUM(E12:K12)</f>
        <v/>
      </c>
      <c r="M12" s="15">
        <f>D12*L12</f>
        <v/>
      </c>
    </row>
    <row r="13">
      <c r="A13" s="10" t="n">
        <v>10</v>
      </c>
      <c r="B13" s="10" t="n">
        <v>10045</v>
      </c>
      <c r="C13" s="11" t="inlineStr">
        <is>
          <t>ØKO - Softkernerugbrød 1000g</t>
        </is>
      </c>
      <c r="D13" s="12" t="n">
        <v>24.96</v>
      </c>
      <c r="E13" s="13" t="n"/>
      <c r="F13" s="13" t="n">
        <v>4</v>
      </c>
      <c r="G13" s="13" t="n">
        <v>4</v>
      </c>
      <c r="H13" s="13" t="n">
        <v>6</v>
      </c>
      <c r="I13" s="13" t="n">
        <v>4</v>
      </c>
      <c r="J13" s="13" t="n">
        <v>12</v>
      </c>
      <c r="K13" s="13" t="n">
        <v>12</v>
      </c>
      <c r="L13" s="14">
        <f>SUM(E13:K13)</f>
        <v/>
      </c>
      <c r="M13" s="15">
        <f>D13*L13</f>
        <v/>
      </c>
    </row>
    <row r="14">
      <c r="A14" s="10" t="n">
        <v>6</v>
      </c>
      <c r="B14" s="10" t="n"/>
      <c r="C14" s="11" t="inlineStr">
        <is>
          <t>ØKO - Softkernerugbrød 1400g</t>
        </is>
      </c>
      <c r="D14" s="12" t="n">
        <v>35.29</v>
      </c>
      <c r="E14" s="13" t="n"/>
      <c r="F14" s="13" t="n"/>
      <c r="G14" s="13" t="n"/>
      <c r="H14" s="13" t="n"/>
      <c r="I14" s="13" t="n"/>
      <c r="J14" s="13" t="n"/>
      <c r="K14" s="13" t="n"/>
      <c r="L14" s="14">
        <f>SUM(E14:K14)</f>
        <v/>
      </c>
      <c r="M14" s="15">
        <f>D14*L14</f>
        <v/>
      </c>
    </row>
    <row r="15">
      <c r="A15" s="11" t="inlineStr">
        <is>
          <t> </t>
        </is>
      </c>
      <c r="B15" s="11" t="n"/>
      <c r="C15" s="11" t="inlineStr">
        <is>
          <t>ØKO - Foccacia</t>
        </is>
      </c>
      <c r="D15" s="17" t="n">
        <v>187.2</v>
      </c>
      <c r="E15" s="13" t="n"/>
      <c r="F15" s="13" t="n"/>
      <c r="G15" s="13" t="n"/>
      <c r="H15" s="13" t="n"/>
      <c r="I15" s="13" t="n">
        <v>1</v>
      </c>
      <c r="J15" s="13" t="n">
        <v>1</v>
      </c>
      <c r="K15" s="13" t="n"/>
      <c r="L15" s="14">
        <f>SUM(E15:K15)</f>
        <v/>
      </c>
      <c r="M15" s="15">
        <f>D15*L15</f>
        <v/>
      </c>
    </row>
    <row r="16">
      <c r="A16" s="10" t="n">
        <v>20</v>
      </c>
      <c r="B16" s="37" t="n">
        <v>10048</v>
      </c>
      <c r="C16" s="11" t="inlineStr">
        <is>
          <t>ØKO - Hvedeboller m/Birkes</t>
        </is>
      </c>
      <c r="D16" s="12" t="n">
        <v>6.92</v>
      </c>
      <c r="E16" s="13" t="n">
        <v>6</v>
      </c>
      <c r="F16" s="13" t="n">
        <v>6</v>
      </c>
      <c r="G16" s="13" t="n">
        <v>6</v>
      </c>
      <c r="H16" s="13" t="n">
        <v>18</v>
      </c>
      <c r="I16" s="13" t="n">
        <v>15</v>
      </c>
      <c r="J16" s="13" t="n">
        <v>40</v>
      </c>
      <c r="K16" s="13" t="n">
        <v>30</v>
      </c>
      <c r="L16" s="14">
        <f>SUM(E16:K16)</f>
        <v/>
      </c>
      <c r="M16" s="15">
        <f>D16*L16</f>
        <v/>
      </c>
    </row>
    <row r="17">
      <c r="A17" s="10" t="n">
        <v>20</v>
      </c>
      <c r="B17" s="37" t="n">
        <v>10049</v>
      </c>
      <c r="C17" s="11" t="inlineStr">
        <is>
          <t xml:space="preserve">ØKO - Hvedeboller </t>
        </is>
      </c>
      <c r="D17" s="12" t="n">
        <v>6.13</v>
      </c>
      <c r="E17" s="13" t="n">
        <v>16</v>
      </c>
      <c r="F17" s="13" t="n">
        <v>16</v>
      </c>
      <c r="G17" s="13" t="n">
        <v>20</v>
      </c>
      <c r="H17" s="13" t="n">
        <v>20</v>
      </c>
      <c r="I17" s="13" t="n">
        <v>30</v>
      </c>
      <c r="J17" s="13" t="n">
        <v>50</v>
      </c>
      <c r="K17" s="13" t="n">
        <v>50</v>
      </c>
      <c r="L17" s="14">
        <f>SUM(E17:K17)</f>
        <v/>
      </c>
      <c r="M17" s="15">
        <f>D17*L17</f>
        <v/>
      </c>
    </row>
    <row r="18">
      <c r="A18" s="10" t="n">
        <v>20</v>
      </c>
      <c r="B18" s="37" t="n">
        <v>10050</v>
      </c>
      <c r="C18" s="11" t="inlineStr">
        <is>
          <t>ØKO - Müslibolle</t>
        </is>
      </c>
      <c r="D18" s="12" t="n">
        <v>6.92</v>
      </c>
      <c r="E18" s="13" t="n"/>
      <c r="F18" s="13" t="n"/>
      <c r="G18" s="13" t="n"/>
      <c r="H18" s="13" t="n"/>
      <c r="I18" s="13" t="n">
        <v>10</v>
      </c>
      <c r="J18" s="13" t="n">
        <v>15</v>
      </c>
      <c r="K18" s="13" t="n">
        <v>15</v>
      </c>
      <c r="L18" s="14">
        <f>SUM(E18:K18)</f>
        <v/>
      </c>
      <c r="M18" s="15">
        <f>D18*L18</f>
        <v/>
      </c>
    </row>
    <row r="19">
      <c r="A19" s="10" t="n">
        <v>20</v>
      </c>
      <c r="B19" s="37" t="n">
        <v>10051</v>
      </c>
      <c r="C19" s="11" t="inlineStr">
        <is>
          <t>ØKO - Kernebolle</t>
        </is>
      </c>
      <c r="D19" s="12" t="n">
        <v>6.55</v>
      </c>
      <c r="E19" s="13" t="n">
        <v>6</v>
      </c>
      <c r="F19" s="13" t="n">
        <v>6</v>
      </c>
      <c r="G19" s="13" t="n">
        <v>6</v>
      </c>
      <c r="H19" s="13" t="n">
        <v>6</v>
      </c>
      <c r="I19" s="13" t="n">
        <v>10</v>
      </c>
      <c r="J19" s="13" t="n">
        <v>30</v>
      </c>
      <c r="K19" s="13" t="n">
        <v>25</v>
      </c>
      <c r="L19" s="14">
        <f>SUM(E19:K19)</f>
        <v/>
      </c>
      <c r="M19" s="15">
        <f>D19*L19</f>
        <v/>
      </c>
    </row>
    <row r="20">
      <c r="A20" s="13" t="inlineStr"/>
      <c r="B20" s="13" t="n"/>
      <c r="C20" s="13" t="inlineStr"/>
      <c r="D20" s="16" t="n"/>
      <c r="E20" s="13" t="n"/>
      <c r="F20" s="13" t="n"/>
      <c r="G20" s="13" t="n"/>
      <c r="H20" s="13" t="n"/>
      <c r="I20" s="13" t="n"/>
      <c r="J20" s="13" t="n"/>
      <c r="K20" s="13" t="n"/>
      <c r="L20" s="14">
        <f>SUM(E20:K20)</f>
        <v/>
      </c>
      <c r="M20" s="15">
        <f>D20*L20</f>
        <v/>
      </c>
    </row>
    <row r="21" ht="15.75" customHeight="1">
      <c r="A21" s="13" t="inlineStr"/>
      <c r="B21" s="13" t="n"/>
      <c r="C21" s="13" t="inlineStr"/>
      <c r="D21" s="16" t="n"/>
      <c r="E21" s="13" t="n"/>
      <c r="F21" s="13" t="n"/>
      <c r="G21" s="13" t="n"/>
      <c r="H21" s="13" t="n"/>
      <c r="I21" s="13" t="n"/>
      <c r="J21" s="13" t="n"/>
      <c r="K21" s="13" t="n"/>
      <c r="L21" s="14">
        <f>SUM(E21:K21)</f>
        <v/>
      </c>
      <c r="M21" s="15">
        <f>D21*L21</f>
        <v/>
      </c>
    </row>
    <row r="22" ht="15.75" customHeight="1">
      <c r="A22" s="10" t="n">
        <v>15</v>
      </c>
      <c r="B22" s="10" t="n"/>
      <c r="C22" s="11" t="inlineStr">
        <is>
          <t>ØKO - Græskarstykke</t>
        </is>
      </c>
      <c r="D22" s="12" t="n">
        <v>7.42</v>
      </c>
      <c r="E22" s="13" t="n"/>
      <c r="F22" s="13" t="n"/>
      <c r="G22" s="13" t="n"/>
      <c r="H22" s="13" t="n"/>
      <c r="I22" s="13" t="n"/>
      <c r="J22" s="13" t="n"/>
      <c r="K22" s="13" t="n"/>
      <c r="L22" s="14">
        <f>SUM(E22:K22)</f>
        <v/>
      </c>
      <c r="M22" s="15">
        <f>D22*L22</f>
        <v/>
      </c>
    </row>
    <row r="23" ht="15.75" customHeight="1">
      <c r="A23" s="10" t="n">
        <v>12</v>
      </c>
      <c r="B23" s="10" t="n">
        <v>10055</v>
      </c>
      <c r="C23" s="11" t="inlineStr">
        <is>
          <t>ØKO - Teboller plain</t>
        </is>
      </c>
      <c r="D23" s="12" t="n">
        <v>6.13</v>
      </c>
      <c r="E23" s="13" t="n"/>
      <c r="F23" s="13" t="n"/>
      <c r="G23" s="13" t="n"/>
      <c r="H23" s="13" t="n"/>
      <c r="I23" s="13" t="n">
        <v>6</v>
      </c>
      <c r="J23" s="13" t="n">
        <v>6</v>
      </c>
      <c r="K23" s="13" t="n">
        <v>8</v>
      </c>
      <c r="L23" s="14">
        <f>SUM(E23:K23)</f>
        <v/>
      </c>
      <c r="M23" s="15">
        <f>D23*L23</f>
        <v/>
      </c>
    </row>
    <row r="24" ht="15.75" customHeight="1">
      <c r="A24" s="10" t="n">
        <v>12</v>
      </c>
      <c r="B24" s="10" t="n">
        <v>10056</v>
      </c>
      <c r="C24" s="11" t="inlineStr">
        <is>
          <t>ØKO - Teboller rosin</t>
        </is>
      </c>
      <c r="D24" s="12" t="n">
        <v>7.3</v>
      </c>
      <c r="E24" s="13" t="n"/>
      <c r="F24" s="13" t="n"/>
      <c r="G24" s="13" t="n"/>
      <c r="H24" s="13" t="n"/>
      <c r="I24" s="13" t="n"/>
      <c r="J24" s="13" t="n">
        <v>6</v>
      </c>
      <c r="K24" s="13" t="n">
        <v>8</v>
      </c>
      <c r="L24" s="14">
        <f>SUM(E24:K24)</f>
        <v/>
      </c>
      <c r="M24" s="15">
        <f>D24*L24</f>
        <v/>
      </c>
    </row>
    <row r="25" ht="15.75" customHeight="1">
      <c r="A25" s="10" t="n">
        <v>12</v>
      </c>
      <c r="B25" s="10" t="n">
        <v>10057</v>
      </c>
      <c r="C25" s="11" t="inlineStr">
        <is>
          <t>ØKO - Teboller choko</t>
        </is>
      </c>
      <c r="D25" s="12" t="n">
        <v>7.79</v>
      </c>
      <c r="E25" s="13" t="n"/>
      <c r="F25" s="13" t="n"/>
      <c r="G25" s="13" t="n"/>
      <c r="H25" s="13" t="n"/>
      <c r="I25" s="13" t="n">
        <v>6</v>
      </c>
      <c r="J25" s="13" t="n">
        <v>6</v>
      </c>
      <c r="K25" s="13" t="n">
        <v>8</v>
      </c>
      <c r="L25" s="14">
        <f>SUM(E25:K25)</f>
        <v/>
      </c>
      <c r="M25" s="15">
        <f>D25*L25</f>
        <v/>
      </c>
    </row>
    <row r="26" ht="15.75" customHeight="1">
      <c r="A26" s="13" t="n"/>
      <c r="B26" s="13" t="n"/>
      <c r="C26" s="13" t="n"/>
      <c r="D26" s="16" t="n"/>
      <c r="E26" s="13" t="n"/>
      <c r="F26" s="13" t="n"/>
      <c r="G26" s="13" t="n"/>
      <c r="H26" s="13" t="n"/>
      <c r="I26" s="13" t="n"/>
      <c r="J26" s="13" t="n"/>
      <c r="K26" s="13" t="n"/>
      <c r="L26" s="14">
        <f>SUM(E26:K26)</f>
        <v/>
      </c>
      <c r="M26" s="15">
        <f>D26*L26</f>
        <v/>
      </c>
    </row>
    <row r="27" ht="15.75" customHeight="1">
      <c r="A27" s="13" t="inlineStr"/>
      <c r="B27" s="13" t="n"/>
      <c r="C27" s="13" t="n"/>
      <c r="D27" s="16" t="n"/>
      <c r="E27" s="13" t="n"/>
      <c r="F27" s="13" t="n"/>
      <c r="G27" s="13" t="n"/>
      <c r="H27" s="13" t="n"/>
      <c r="I27" s="13" t="n"/>
      <c r="J27" s="13" t="n"/>
      <c r="K27" s="13" t="n"/>
      <c r="L27" s="14">
        <f>SUM(E27:K27)</f>
        <v/>
      </c>
      <c r="M27" s="15">
        <f>D27*L27</f>
        <v/>
      </c>
    </row>
    <row r="28" ht="15.75" customHeight="1">
      <c r="A28" s="13" t="n"/>
      <c r="B28" s="13" t="n"/>
      <c r="C28" s="13" t="inlineStr"/>
      <c r="D28" s="16" t="n"/>
      <c r="E28" s="13" t="n"/>
      <c r="F28" s="13" t="n"/>
      <c r="G28" s="13" t="n"/>
      <c r="H28" s="13" t="n"/>
      <c r="I28" s="13" t="n"/>
      <c r="J28" s="13" t="n"/>
      <c r="K28" s="13" t="n"/>
      <c r="L28" s="14">
        <f>SUM(E28:K28)</f>
        <v/>
      </c>
      <c r="M28" s="15">
        <f>D28*L28</f>
        <v/>
      </c>
    </row>
    <row r="29" ht="15.75" customHeight="1">
      <c r="A29" s="13" t="n"/>
      <c r="B29" s="13" t="n"/>
      <c r="C29" s="13" t="inlineStr"/>
      <c r="D29" s="16" t="n"/>
      <c r="E29" s="13" t="n"/>
      <c r="F29" s="13" t="n"/>
      <c r="G29" s="13" t="n"/>
      <c r="H29" s="13" t="n"/>
      <c r="I29" s="13" t="n"/>
      <c r="J29" s="13" t="n"/>
      <c r="K29" s="13" t="n"/>
      <c r="L29" s="14">
        <f>SUM(E29:K29)</f>
        <v/>
      </c>
      <c r="M29" s="15">
        <f>D29*L29</f>
        <v/>
      </c>
    </row>
    <row r="30" ht="15.75" customHeight="1">
      <c r="A30" s="13" t="n"/>
      <c r="B30" s="13" t="n"/>
      <c r="C30" s="13" t="inlineStr"/>
      <c r="D30" s="16" t="n"/>
      <c r="E30" s="13" t="n"/>
      <c r="F30" s="13" t="n"/>
      <c r="G30" s="13" t="n"/>
      <c r="H30" s="13" t="n"/>
      <c r="I30" s="13" t="n"/>
      <c r="J30" s="13" t="n"/>
      <c r="K30" s="13" t="n"/>
      <c r="L30" s="14">
        <f>SUM(E30:K30)</f>
        <v/>
      </c>
      <c r="M30" s="15">
        <f>D30*L30</f>
        <v/>
      </c>
    </row>
    <row r="31" ht="15.75" customHeight="1">
      <c r="A31" s="13" t="inlineStr"/>
      <c r="B31" s="13" t="n"/>
      <c r="C31" s="13" t="inlineStr"/>
      <c r="D31" s="16" t="n"/>
      <c r="E31" s="13" t="n"/>
      <c r="F31" s="13" t="n"/>
      <c r="G31" s="13" t="n"/>
      <c r="H31" s="13" t="n"/>
      <c r="I31" s="13" t="n"/>
      <c r="J31" s="13" t="n"/>
      <c r="K31" s="13" t="n"/>
      <c r="L31" s="14">
        <f>SUM(E31:K31)</f>
        <v/>
      </c>
      <c r="M31" s="15">
        <f>D31*L31</f>
        <v/>
      </c>
    </row>
    <row r="32" ht="15.75" customHeight="1">
      <c r="A32" s="10" t="n">
        <v>12</v>
      </c>
      <c r="B32" s="37" t="n">
        <v>10060</v>
      </c>
      <c r="C32" s="11" t="inlineStr">
        <is>
          <t xml:space="preserve">ØKO - Tebirkes </t>
        </is>
      </c>
      <c r="D32" s="12" t="n">
        <v>12.48</v>
      </c>
      <c r="E32" s="13" t="n">
        <v>8</v>
      </c>
      <c r="F32" s="13" t="n">
        <v>8</v>
      </c>
      <c r="G32" s="13" t="n">
        <v>8</v>
      </c>
      <c r="H32" s="13" t="n">
        <v>14</v>
      </c>
      <c r="I32" s="13" t="n">
        <v>20</v>
      </c>
      <c r="J32" s="13" t="n">
        <v>24</v>
      </c>
      <c r="K32" s="13" t="n">
        <v>24</v>
      </c>
      <c r="L32" s="14">
        <f>SUM(E32:K32)</f>
        <v/>
      </c>
      <c r="M32" s="15">
        <f>D32*L32</f>
        <v/>
      </c>
    </row>
    <row r="33" ht="15.75" customHeight="1">
      <c r="A33" s="10" t="n">
        <v>12</v>
      </c>
      <c r="B33" s="37" t="n">
        <v>10061</v>
      </c>
      <c r="C33" s="11" t="inlineStr">
        <is>
          <t>ØKO - Grovbirkes</t>
        </is>
      </c>
      <c r="D33" s="12" t="n">
        <v>12.24</v>
      </c>
      <c r="E33" s="13" t="n"/>
      <c r="F33" s="13" t="n"/>
      <c r="G33" s="13" t="n"/>
      <c r="H33" s="13" t="n"/>
      <c r="I33" s="13" t="n">
        <v>6</v>
      </c>
      <c r="J33" s="13" t="n">
        <v>6</v>
      </c>
      <c r="K33" s="13" t="n">
        <v>8</v>
      </c>
      <c r="L33" s="14">
        <f>SUM(E33:K33)</f>
        <v/>
      </c>
      <c r="M33" s="15">
        <f>D33*L33</f>
        <v/>
      </c>
    </row>
    <row r="34" ht="15.75" customHeight="1">
      <c r="A34" s="10" t="n">
        <v>12</v>
      </c>
      <c r="B34" s="37" t="n">
        <v>10062</v>
      </c>
      <c r="C34" s="11" t="inlineStr">
        <is>
          <t xml:space="preserve">ØKO - Croissant </t>
        </is>
      </c>
      <c r="D34" s="12" t="n">
        <v>11.11</v>
      </c>
      <c r="E34" s="13" t="n">
        <v>8</v>
      </c>
      <c r="F34" s="13" t="n">
        <v>8</v>
      </c>
      <c r="G34" s="13" t="n">
        <v>8</v>
      </c>
      <c r="H34" s="13" t="n">
        <v>8</v>
      </c>
      <c r="I34" s="13" t="n">
        <v>12</v>
      </c>
      <c r="J34" s="13" t="n">
        <v>16</v>
      </c>
      <c r="K34" s="13" t="n">
        <v>16</v>
      </c>
      <c r="L34" s="14">
        <f>SUM(E34:K34)</f>
        <v/>
      </c>
      <c r="M34" s="15">
        <f>D34*L34</f>
        <v/>
      </c>
    </row>
    <row r="35" ht="15.75" customHeight="1">
      <c r="A35" s="10" t="n">
        <v>12</v>
      </c>
      <c r="B35" s="37" t="n">
        <v>10063</v>
      </c>
      <c r="C35" s="11" t="inlineStr">
        <is>
          <t xml:space="preserve">ØKO - Crossaint Marcipan &amp; Chok </t>
        </is>
      </c>
      <c r="D35" s="12" t="n">
        <v>12.36</v>
      </c>
      <c r="E35" s="13" t="n">
        <v>4</v>
      </c>
      <c r="F35" s="13" t="n">
        <v>4</v>
      </c>
      <c r="G35" s="13" t="n">
        <v>4</v>
      </c>
      <c r="H35" s="13" t="n">
        <v>6</v>
      </c>
      <c r="I35" s="13" t="n">
        <v>8</v>
      </c>
      <c r="J35" s="13" t="n">
        <v>12</v>
      </c>
      <c r="K35" s="13" t="n">
        <v>12</v>
      </c>
      <c r="L35" s="14">
        <f>SUM(E35:K35)</f>
        <v/>
      </c>
      <c r="M35" s="15">
        <f>D35*L35</f>
        <v/>
      </c>
    </row>
    <row r="36" ht="15.75" customHeight="1">
      <c r="A36" s="10" t="n">
        <v>12</v>
      </c>
      <c r="B36" s="37" t="n">
        <v>10064</v>
      </c>
      <c r="C36" s="11" t="inlineStr">
        <is>
          <t xml:space="preserve">ØKO - Kanel snegl </t>
        </is>
      </c>
      <c r="D36" s="12" t="n">
        <v>11.23</v>
      </c>
      <c r="E36" s="13" t="n"/>
      <c r="F36" s="13" t="n"/>
      <c r="G36" s="13" t="n"/>
      <c r="H36" s="13" t="n"/>
      <c r="I36" s="13" t="n"/>
      <c r="J36" s="13" t="n"/>
      <c r="K36" s="13" t="n"/>
      <c r="L36" s="14">
        <f>SUM(E36:K36)</f>
        <v/>
      </c>
      <c r="M36" s="15">
        <f>D36*L36</f>
        <v/>
      </c>
    </row>
    <row r="37" ht="15.75" customHeight="1">
      <c r="A37" s="10" t="n">
        <v>12</v>
      </c>
      <c r="B37" s="37" t="n">
        <v>10065</v>
      </c>
      <c r="C37" s="11" t="inlineStr">
        <is>
          <t>ØKO - HØJ Romsnegle</t>
        </is>
      </c>
      <c r="D37" s="12" t="n">
        <v>12.85</v>
      </c>
      <c r="E37" s="13" t="n"/>
      <c r="F37" s="13" t="n"/>
      <c r="G37" s="13" t="n"/>
      <c r="H37" s="13" t="n">
        <v>6</v>
      </c>
      <c r="I37" s="13" t="n">
        <v>6</v>
      </c>
      <c r="J37" s="13" t="n">
        <v>10</v>
      </c>
      <c r="K37" s="13" t="n">
        <v>10</v>
      </c>
      <c r="L37" s="14">
        <f>SUM(E37:K37)</f>
        <v/>
      </c>
      <c r="M37" s="15">
        <f>D37*L37</f>
        <v/>
      </c>
    </row>
    <row r="38" ht="15.75" customHeight="1">
      <c r="A38" s="10" t="n">
        <v>12</v>
      </c>
      <c r="B38" s="37" t="n">
        <v>10066</v>
      </c>
      <c r="C38" s="11" t="inlineStr">
        <is>
          <t>ØKO - Kanelsnurrer</t>
        </is>
      </c>
      <c r="D38" s="12" t="n">
        <v>11.6</v>
      </c>
      <c r="E38" s="13" t="n">
        <v>4</v>
      </c>
      <c r="F38" s="13" t="n">
        <v>4</v>
      </c>
      <c r="G38" s="13" t="n">
        <v>4</v>
      </c>
      <c r="H38" s="13" t="n">
        <v>6</v>
      </c>
      <c r="I38" s="13" t="n">
        <v>10</v>
      </c>
      <c r="J38" s="13" t="n">
        <v>16</v>
      </c>
      <c r="K38" s="13" t="n">
        <v>18</v>
      </c>
      <c r="L38" s="14">
        <f>SUM(E38:K38)</f>
        <v/>
      </c>
      <c r="M38" s="15">
        <f>D38*L38</f>
        <v/>
      </c>
    </row>
    <row r="39" ht="15.75" customHeight="1">
      <c r="A39" s="10" t="n">
        <v>12</v>
      </c>
      <c r="B39" s="37" t="n">
        <v>10067</v>
      </c>
      <c r="C39" s="11" t="inlineStr">
        <is>
          <t>ØKO - Kardemommesnurrer in form, sugar on top</t>
        </is>
      </c>
      <c r="D39" s="12" t="n">
        <v>13.98</v>
      </c>
      <c r="E39" s="13" t="n">
        <v>4</v>
      </c>
      <c r="F39" s="13" t="n">
        <v>4</v>
      </c>
      <c r="G39" s="13" t="n">
        <v>4</v>
      </c>
      <c r="H39" s="13" t="n">
        <v>6</v>
      </c>
      <c r="I39" s="13" t="n">
        <v>10</v>
      </c>
      <c r="J39" s="13" t="n">
        <v>14</v>
      </c>
      <c r="K39" s="13" t="n">
        <v>14</v>
      </c>
      <c r="L39" s="14">
        <f>SUM(E39:K39)</f>
        <v/>
      </c>
      <c r="M39" s="15">
        <f>D39*L39</f>
        <v/>
      </c>
    </row>
    <row r="40" ht="15.75" customHeight="1">
      <c r="A40" s="10" t="n">
        <v>10</v>
      </c>
      <c r="B40" s="37" t="n">
        <v>10068</v>
      </c>
      <c r="C40" s="11" t="inlineStr">
        <is>
          <t>ØKO - Frøsnapper</t>
        </is>
      </c>
      <c r="D40" s="12" t="n">
        <v>12.42</v>
      </c>
      <c r="E40" s="13" t="n"/>
      <c r="F40" s="13" t="n"/>
      <c r="G40" s="13" t="n"/>
      <c r="H40" s="13" t="n">
        <v>6</v>
      </c>
      <c r="I40" s="13" t="n">
        <v>10</v>
      </c>
      <c r="J40" s="13" t="n">
        <v>10</v>
      </c>
      <c r="K40" s="13" t="n">
        <v>10</v>
      </c>
      <c r="L40" s="14">
        <f>SUM(E40:K40)</f>
        <v/>
      </c>
      <c r="M40" s="15">
        <f>D40*L40</f>
        <v/>
      </c>
    </row>
    <row r="41" ht="15.75" customHeight="1">
      <c r="A41" s="10" t="n">
        <v>12</v>
      </c>
      <c r="B41" s="37" t="n">
        <v>10069</v>
      </c>
      <c r="C41" s="11" t="inlineStr">
        <is>
          <t>ØKO - Høj Kanel snegl med creme og hvid glasur</t>
        </is>
      </c>
      <c r="D41" s="12" t="n">
        <v>12.72</v>
      </c>
      <c r="E41" s="13" t="n">
        <v>4</v>
      </c>
      <c r="F41" s="13" t="n">
        <v>4</v>
      </c>
      <c r="G41" s="13" t="n">
        <v>4</v>
      </c>
      <c r="H41" s="13" t="n">
        <v>6</v>
      </c>
      <c r="I41" s="13" t="n">
        <v>10</v>
      </c>
      <c r="J41" s="13" t="n">
        <v>16</v>
      </c>
      <c r="K41" s="13" t="n">
        <v>16</v>
      </c>
      <c r="L41" s="14">
        <f>SUM(E41:K41)</f>
        <v/>
      </c>
      <c r="M41" s="15">
        <f>D41*L41</f>
        <v/>
      </c>
    </row>
    <row r="42" ht="15.75" customHeight="1">
      <c r="A42" s="10" t="n">
        <v>4</v>
      </c>
      <c r="B42" s="37" t="n"/>
      <c r="C42" s="11" t="inlineStr">
        <is>
          <t>ØKO - Wienerstang</t>
        </is>
      </c>
      <c r="D42" s="12" t="n">
        <v>35.65</v>
      </c>
      <c r="E42" s="13" t="n"/>
      <c r="F42" s="13" t="n"/>
      <c r="G42" s="13" t="n"/>
      <c r="H42" s="13" t="n"/>
      <c r="I42" s="13" t="n"/>
      <c r="J42" s="13" t="n"/>
      <c r="K42" s="13" t="n"/>
      <c r="L42" s="14">
        <f>SUM(E42:K42)</f>
        <v/>
      </c>
      <c r="M42" s="15">
        <f>D42*L42</f>
        <v/>
      </c>
    </row>
    <row r="43" ht="15.75" customHeight="1">
      <c r="A43" s="10" t="n">
        <v>4</v>
      </c>
      <c r="B43" s="37" t="n"/>
      <c r="C43" s="11" t="inlineStr">
        <is>
          <t xml:space="preserve">ØKO - Kanelstang med choko </t>
        </is>
      </c>
      <c r="D43" s="12" t="n">
        <v>35.65</v>
      </c>
      <c r="E43" s="13" t="n"/>
      <c r="F43" s="13" t="n"/>
      <c r="G43" s="13" t="n"/>
      <c r="H43" s="13" t="n"/>
      <c r="I43" s="13" t="n"/>
      <c r="J43" s="13" t="n"/>
      <c r="K43" s="13" t="n"/>
      <c r="L43" s="14">
        <f>SUM(E43:K43)</f>
        <v/>
      </c>
      <c r="M43" s="15">
        <f>D43*L43</f>
        <v/>
      </c>
    </row>
    <row r="44" ht="15.75" customHeight="1">
      <c r="A44" s="10" t="n">
        <v>12</v>
      </c>
      <c r="B44" s="37" t="n">
        <v>13604</v>
      </c>
      <c r="C44" s="11" t="inlineStr">
        <is>
          <t>ØKO - Spandauer m. vanilje</t>
        </is>
      </c>
      <c r="D44" s="12" t="n">
        <v>12.11</v>
      </c>
      <c r="E44" s="13" t="n"/>
      <c r="F44" s="13" t="n"/>
      <c r="G44" s="13" t="n"/>
      <c r="H44" s="13" t="n"/>
      <c r="I44" s="13" t="n"/>
      <c r="J44" s="13" t="n"/>
      <c r="K44" s="13" t="n"/>
      <c r="L44" s="14">
        <f>SUM(E44:K44)</f>
        <v/>
      </c>
      <c r="M44" s="15">
        <f>D44*L44</f>
        <v/>
      </c>
    </row>
    <row r="45" ht="15.75" customHeight="1">
      <c r="A45" s="10" t="n">
        <v>12</v>
      </c>
      <c r="B45" s="37" t="n">
        <v>13602</v>
      </c>
      <c r="C45" s="11" t="inlineStr">
        <is>
          <t>ØKO - Spandauer m. hindbær</t>
        </is>
      </c>
      <c r="D45" s="12" t="n">
        <v>12.24</v>
      </c>
      <c r="E45" s="13" t="n"/>
      <c r="F45" s="13" t="n"/>
      <c r="G45" s="13" t="n"/>
      <c r="H45" s="13" t="n"/>
      <c r="I45" s="13" t="n"/>
      <c r="J45" s="13" t="n"/>
      <c r="K45" s="13" t="n"/>
      <c r="L45" s="14">
        <f>SUM(E45:K45)</f>
        <v/>
      </c>
      <c r="M45" s="15">
        <f>D45*L45</f>
        <v/>
      </c>
    </row>
    <row r="46" ht="15.75" customHeight="1">
      <c r="A46" s="13" t="n"/>
      <c r="B46" s="13" t="n"/>
      <c r="C46" s="13" t="n"/>
      <c r="D46" s="16" t="n"/>
      <c r="E46" s="13" t="n"/>
      <c r="F46" s="13" t="n"/>
      <c r="G46" s="13" t="n"/>
      <c r="H46" s="13" t="n"/>
      <c r="I46" s="13" t="n"/>
      <c r="J46" s="13" t="n"/>
      <c r="K46" s="13" t="n"/>
      <c r="L46" s="18" t="n"/>
      <c r="M46" s="15">
        <f>D46*L46</f>
        <v/>
      </c>
    </row>
    <row r="47" ht="15.75" customHeight="1">
      <c r="A47" s="13" t="n"/>
      <c r="B47" s="13" t="n"/>
      <c r="C47" s="13" t="n"/>
      <c r="D47" s="16" t="n"/>
      <c r="E47" s="13" t="n"/>
      <c r="F47" s="13" t="n"/>
      <c r="G47" s="13" t="n"/>
      <c r="H47" s="13" t="n"/>
      <c r="I47" s="13" t="n"/>
      <c r="J47" s="13" t="n"/>
      <c r="K47" s="13" t="n"/>
      <c r="L47" s="18" t="n"/>
      <c r="M47" s="15">
        <f>D47*L47</f>
        <v/>
      </c>
    </row>
    <row r="48" ht="15.75" customHeight="1">
      <c r="A48" s="13" t="n"/>
      <c r="B48" s="13" t="n"/>
      <c r="C48" s="13" t="inlineStr"/>
      <c r="D48" s="16" t="n"/>
      <c r="E48" s="13" t="n"/>
      <c r="F48" s="13" t="n"/>
      <c r="G48" s="13" t="n"/>
      <c r="H48" s="13" t="n"/>
      <c r="I48" s="13" t="n"/>
      <c r="J48" s="13" t="n"/>
      <c r="K48" s="13" t="n"/>
      <c r="L48" s="14">
        <f>SUM(E48:K48)</f>
        <v/>
      </c>
      <c r="M48" s="15">
        <f>D48*L48</f>
        <v/>
      </c>
    </row>
    <row r="49" ht="15.75" customHeight="1">
      <c r="A49" s="13" t="n"/>
      <c r="B49" s="13" t="n"/>
      <c r="C49" s="19" t="inlineStr">
        <is>
          <t>I alt</t>
        </is>
      </c>
      <c r="D49" s="16" t="n"/>
      <c r="E49" s="20">
        <f>SUM(E4:E47)</f>
        <v/>
      </c>
      <c r="F49" s="20">
        <f>SUM(F4:F47)</f>
        <v/>
      </c>
      <c r="G49" s="20">
        <f>SUM(G4:G47)</f>
        <v/>
      </c>
      <c r="H49" s="20">
        <f>SUM(H4:H47)</f>
        <v/>
      </c>
      <c r="I49" s="20">
        <f>SUM(I4:I47)</f>
        <v/>
      </c>
      <c r="J49" s="20">
        <f>SUM(J4:J47)</f>
        <v/>
      </c>
      <c r="K49" s="20">
        <f>SUM(K4:K47)</f>
        <v/>
      </c>
      <c r="L49" s="21">
        <f>SUM(L4:L47)</f>
        <v/>
      </c>
      <c r="M49" s="22">
        <f>SUM(M4:M48)</f>
        <v/>
      </c>
    </row>
    <row r="50" ht="15.75" customHeight="1">
      <c r="A50" s="13" t="n"/>
      <c r="B50" s="37" t="n">
        <v>10210</v>
      </c>
      <c r="C50" s="33" t="inlineStr">
        <is>
          <t>ØKO - Studenterbrød - halv plade</t>
        </is>
      </c>
      <c r="D50" s="12" t="n">
        <v>60.6</v>
      </c>
      <c r="E50" s="23" t="n"/>
      <c r="F50" s="13" t="n"/>
      <c r="G50" s="23" t="n"/>
      <c r="H50" s="13" t="n">
        <v>1</v>
      </c>
      <c r="I50" s="23" t="n"/>
      <c r="J50" s="13" t="n"/>
      <c r="K50" s="23" t="n"/>
      <c r="L50" s="10">
        <f>SUM(E50:K50)</f>
        <v/>
      </c>
      <c r="M50" s="24">
        <f>L50*D50</f>
        <v/>
      </c>
    </row>
    <row r="51" ht="15.75" customHeight="1">
      <c r="A51" s="13" t="n"/>
      <c r="B51" s="37" t="n">
        <v>10342</v>
      </c>
      <c r="C51" s="33" t="inlineStr">
        <is>
          <t>ØKO - Træstammer</t>
        </is>
      </c>
      <c r="D51" s="12" t="n">
        <v>15.77</v>
      </c>
      <c r="E51" s="23" t="n"/>
      <c r="F51" s="13" t="n">
        <v>12</v>
      </c>
      <c r="G51" s="23" t="n"/>
      <c r="H51" s="13" t="n"/>
      <c r="I51" s="23" t="n"/>
      <c r="J51" s="13" t="n">
        <v>15</v>
      </c>
      <c r="K51" s="23" t="n"/>
      <c r="L51" s="10">
        <f>SUM(E51:K51)</f>
        <v/>
      </c>
      <c r="M51" s="15">
        <f>L51*D51</f>
        <v/>
      </c>
    </row>
    <row r="52" ht="15.75" customHeight="1">
      <c r="A52" s="13" t="n"/>
      <c r="B52" s="36" t="n"/>
      <c r="C52" s="34" t="n"/>
      <c r="D52" s="12" t="n"/>
      <c r="E52" s="23" t="n"/>
      <c r="F52" s="35" t="n"/>
      <c r="G52" s="23" t="n"/>
      <c r="H52" s="13" t="n"/>
      <c r="I52" s="23" t="n"/>
      <c r="J52" s="13" t="n"/>
      <c r="K52" s="23" t="n"/>
      <c r="L52" s="10">
        <f>SUM(E52:K52)</f>
        <v/>
      </c>
      <c r="M52" s="15">
        <f>L52*D52</f>
        <v/>
      </c>
    </row>
    <row r="53" ht="15.75" customHeight="1">
      <c r="A53" s="13" t="n"/>
      <c r="B53" s="37" t="n">
        <v>10345</v>
      </c>
      <c r="C53" s="33" t="inlineStr">
        <is>
          <t>ØKO - Napoleonshat</t>
        </is>
      </c>
      <c r="D53" s="12" t="n">
        <v>20.17</v>
      </c>
      <c r="E53" s="23" t="n"/>
      <c r="F53" s="35" t="n"/>
      <c r="G53" s="23" t="n"/>
      <c r="H53" s="13" t="n">
        <v>8</v>
      </c>
      <c r="I53" s="23" t="n"/>
      <c r="J53" s="13" t="n"/>
      <c r="K53" s="23" t="n"/>
      <c r="L53" s="10">
        <f>SUM(E53:K53)</f>
        <v/>
      </c>
      <c r="M53" s="15">
        <f>L53*D53</f>
        <v/>
      </c>
    </row>
    <row r="54" ht="15.75" customHeight="1">
      <c r="A54" s="13" t="n"/>
      <c r="B54" s="37" t="n">
        <v>10075</v>
      </c>
      <c r="C54" s="33" t="inlineStr">
        <is>
          <t>ØKO - Cookies</t>
        </is>
      </c>
      <c r="D54" s="12" t="n">
        <v>15.37</v>
      </c>
      <c r="E54" s="23" t="n"/>
      <c r="F54" s="35" t="n">
        <v>6</v>
      </c>
      <c r="G54" s="23" t="n"/>
      <c r="H54" s="13" t="n"/>
      <c r="I54" s="23" t="n"/>
      <c r="J54" s="13" t="n"/>
      <c r="K54" s="23" t="n"/>
      <c r="L54" s="10">
        <f>SUM(E54:K54)</f>
        <v/>
      </c>
      <c r="M54" s="15">
        <f>L54*D54</f>
        <v/>
      </c>
    </row>
    <row r="55" ht="15.75" customHeight="1">
      <c r="A55" s="13" t="n"/>
      <c r="B55" s="37" t="n">
        <v>10077</v>
      </c>
      <c r="C55" s="33" t="inlineStr">
        <is>
          <t>ØKO - Kokostoppe</t>
        </is>
      </c>
      <c r="D55" s="12" t="n">
        <v>15.12</v>
      </c>
      <c r="E55" s="23" t="n"/>
      <c r="F55" s="35" t="n">
        <v>12</v>
      </c>
      <c r="G55" s="23" t="n"/>
      <c r="H55" s="13" t="n"/>
      <c r="I55" s="23" t="n"/>
      <c r="J55" s="13" t="n">
        <v>14</v>
      </c>
      <c r="K55" s="23" t="n"/>
      <c r="L55" s="10">
        <f>SUM(E55:K55)</f>
        <v/>
      </c>
      <c r="M55" s="15">
        <f>L55*D55</f>
        <v/>
      </c>
    </row>
    <row r="56" ht="15.75" customHeight="1">
      <c r="A56" s="13" t="n"/>
      <c r="B56" s="37" t="n">
        <v>10078</v>
      </c>
      <c r="C56" s="33" t="inlineStr">
        <is>
          <t>ØKO - Romkugler m. choko</t>
        </is>
      </c>
      <c r="D56" s="12" t="n">
        <v>8.800000000000001</v>
      </c>
      <c r="E56" s="23" t="n"/>
      <c r="F56" s="35" t="n">
        <v>20</v>
      </c>
      <c r="G56" s="23" t="n"/>
      <c r="H56" s="13" t="n"/>
      <c r="I56" s="23" t="n"/>
      <c r="J56" s="13" t="n">
        <v>25</v>
      </c>
      <c r="K56" s="23" t="n"/>
      <c r="L56" s="10">
        <f>SUM(E56:K56)</f>
        <v/>
      </c>
      <c r="M56" s="15">
        <f>L56*D56</f>
        <v/>
      </c>
    </row>
    <row r="57" ht="15.75" customHeight="1">
      <c r="A57" s="13" t="n"/>
      <c r="B57" s="37" t="n"/>
      <c r="C57" s="33" t="inlineStr">
        <is>
          <t>ØKO - Romkugler m. kokos</t>
        </is>
      </c>
      <c r="D57" s="12" t="n">
        <v>8.800000000000001</v>
      </c>
      <c r="E57" s="23" t="n"/>
      <c r="F57" s="35" t="n"/>
      <c r="G57" s="23" t="n"/>
      <c r="H57" s="13" t="n"/>
      <c r="I57" s="23" t="n"/>
      <c r="J57" s="13" t="n"/>
      <c r="K57" s="23" t="n"/>
      <c r="L57" s="10">
        <f>SUM(E57:K57)</f>
        <v/>
      </c>
      <c r="M57" s="15">
        <f>L57*D57</f>
        <v/>
      </c>
    </row>
    <row r="58" ht="15.75" customHeight="1">
      <c r="A58" s="13" t="n"/>
      <c r="B58" s="13" t="n"/>
      <c r="C58" s="34" t="n"/>
      <c r="D58" s="12" t="n"/>
      <c r="E58" s="23" t="n"/>
      <c r="F58" s="35" t="n"/>
      <c r="G58" s="23" t="n"/>
      <c r="H58" s="13" t="n"/>
      <c r="I58" s="23" t="n"/>
      <c r="J58" s="13" t="n"/>
      <c r="K58" s="23" t="n"/>
      <c r="L58" s="10">
        <f>SUM(E58:K58)</f>
        <v/>
      </c>
      <c r="M58" s="15">
        <f>L58*D58</f>
        <v/>
      </c>
    </row>
    <row r="59" ht="15.75" customHeight="1">
      <c r="A59" s="13" t="n"/>
      <c r="B59" s="13" t="n">
        <v>10076</v>
      </c>
      <c r="C59" s="33" t="inlineStr">
        <is>
          <t>ØKO - Hindbærsnitter</t>
        </is>
      </c>
      <c r="D59" s="12" t="n">
        <v>15</v>
      </c>
      <c r="E59" s="23" t="n"/>
      <c r="F59" s="25" t="n">
        <v>10</v>
      </c>
      <c r="G59" s="23" t="n"/>
      <c r="H59" s="13" t="n"/>
      <c r="I59" s="23" t="n"/>
      <c r="J59" s="13" t="n">
        <v>16</v>
      </c>
      <c r="K59" s="23" t="n"/>
      <c r="L59" s="10">
        <f>SUM(E59:K59)</f>
        <v/>
      </c>
      <c r="M59" s="15">
        <f>L59*D59</f>
        <v/>
      </c>
    </row>
    <row r="60" ht="15.75" customHeight="1">
      <c r="A60" s="13" t="n"/>
      <c r="B60" s="26" t="n"/>
      <c r="C60" s="26" t="n"/>
      <c r="D60" s="16" t="n"/>
      <c r="E60" s="25" t="n"/>
      <c r="F60" s="25" t="n"/>
      <c r="G60" s="13" t="n"/>
      <c r="H60" s="13" t="n"/>
      <c r="I60" s="27" t="n"/>
      <c r="J60" s="13" t="n"/>
      <c r="K60" s="13" t="n"/>
      <c r="L60" s="13" t="n"/>
      <c r="M60" s="24" t="n"/>
    </row>
    <row r="61" ht="15.75" customHeight="1">
      <c r="A61" s="13" t="n"/>
      <c r="B61" s="26" t="n"/>
      <c r="C61" s="26" t="n"/>
      <c r="D61" s="16" t="n"/>
      <c r="E61" s="25" t="n"/>
      <c r="F61" s="25" t="n"/>
      <c r="G61" s="13" t="n"/>
      <c r="H61" s="13" t="n"/>
      <c r="I61" s="27" t="n"/>
      <c r="J61" s="13" t="n"/>
      <c r="K61" s="13" t="n"/>
      <c r="L61" s="13" t="n"/>
      <c r="M61" s="24" t="n"/>
    </row>
    <row r="62" ht="15.75" customHeight="1">
      <c r="A62" s="13" t="n"/>
      <c r="B62" s="13" t="n"/>
      <c r="C62" s="19" t="inlineStr">
        <is>
          <t>I alt</t>
        </is>
      </c>
      <c r="D62" s="16" t="n"/>
      <c r="E62" s="20">
        <f>SUM(E50:E61)</f>
        <v/>
      </c>
      <c r="F62" s="20">
        <f>SUM(F50:F61)</f>
        <v/>
      </c>
      <c r="G62" s="20">
        <f>SUM(G50:G61)</f>
        <v/>
      </c>
      <c r="H62" s="20">
        <f>SUM(H50:H61)</f>
        <v/>
      </c>
      <c r="I62" s="20">
        <f>SUM(I50:I61)</f>
        <v/>
      </c>
      <c r="J62" s="20">
        <f>SUM(J50:J61)</f>
        <v/>
      </c>
      <c r="K62" s="20">
        <f>SUM(K50:K61)</f>
        <v/>
      </c>
      <c r="L62" s="20">
        <f>SUM(L50:L61)</f>
        <v/>
      </c>
      <c r="M62" s="22">
        <f>SUM(M50:M61)</f>
        <v/>
      </c>
    </row>
    <row r="63" ht="15.75" customHeight="1">
      <c r="A63" s="13" t="n"/>
      <c r="B63" s="13" t="n"/>
      <c r="C63" s="13" t="n"/>
      <c r="D63" s="16" t="n"/>
      <c r="E63" s="23" t="n"/>
      <c r="F63" s="23" t="n"/>
      <c r="G63" s="13" t="n"/>
      <c r="H63" s="23" t="n"/>
      <c r="I63" s="13" t="n"/>
      <c r="J63" s="23" t="n"/>
      <c r="K63" s="23" t="n"/>
      <c r="L63" s="13" t="n"/>
      <c r="M63" s="22" t="n"/>
    </row>
    <row r="64" ht="15.75" customHeight="1">
      <c r="A64" s="26" t="n"/>
      <c r="B64" s="38" t="n">
        <v>13657</v>
      </c>
      <c r="C64" s="11" t="inlineStr">
        <is>
          <t>ØKO - Banan muffin</t>
        </is>
      </c>
      <c r="D64" s="12" t="n">
        <v>17.03</v>
      </c>
      <c r="E64" s="23" t="n"/>
      <c r="F64" s="23" t="n"/>
      <c r="G64" s="13" t="n"/>
      <c r="H64" s="23" t="n"/>
      <c r="I64" s="13" t="n"/>
      <c r="J64" s="23" t="n"/>
      <c r="K64" s="23" t="n"/>
      <c r="L64" s="28">
        <f>SUM(E64:K64)</f>
        <v/>
      </c>
      <c r="M64" s="29">
        <f>L64*D64</f>
        <v/>
      </c>
    </row>
    <row r="65" ht="15.75" customHeight="1">
      <c r="A65" s="26" t="n"/>
      <c r="B65" s="38" t="n">
        <v>10053</v>
      </c>
      <c r="C65" s="11" t="inlineStr">
        <is>
          <t>ØKO - Brownie</t>
        </is>
      </c>
      <c r="D65" s="12" t="n">
        <v>18.09</v>
      </c>
      <c r="E65" s="23" t="n"/>
      <c r="F65" s="23" t="n"/>
      <c r="G65" s="13" t="n"/>
      <c r="H65" s="23" t="n"/>
      <c r="I65" s="13" t="n"/>
      <c r="J65" s="23" t="n"/>
      <c r="K65" s="23" t="n"/>
      <c r="L65" s="28">
        <f>SUM(E65:K65)</f>
        <v/>
      </c>
      <c r="M65" s="29">
        <f>L65*D65</f>
        <v/>
      </c>
    </row>
    <row r="66" ht="15.75" customHeight="1">
      <c r="A66" s="26" t="n"/>
      <c r="B66" s="38" t="n">
        <v>10079</v>
      </c>
      <c r="C66" s="11" t="inlineStr">
        <is>
          <t>ØKO - Æble-kanel muffin</t>
        </is>
      </c>
      <c r="D66" s="12" t="n">
        <v>17.02</v>
      </c>
      <c r="E66" s="23" t="n"/>
      <c r="F66" s="23" t="n"/>
      <c r="G66" s="13" t="n"/>
      <c r="H66" s="23" t="n"/>
      <c r="I66" s="13" t="n"/>
      <c r="J66" s="23" t="n"/>
      <c r="K66" s="23" t="n"/>
      <c r="L66" s="28">
        <f>SUM(E66:K66)</f>
        <v/>
      </c>
      <c r="M66" s="29">
        <f>L66*D66</f>
        <v/>
      </c>
    </row>
    <row r="67" ht="15.75" customHeight="1">
      <c r="A67" s="26" t="n"/>
      <c r="B67" s="26" t="n"/>
      <c r="C67" s="13" t="n"/>
      <c r="D67" s="16" t="n"/>
      <c r="E67" s="23" t="n"/>
      <c r="F67" s="23" t="n"/>
      <c r="G67" s="13" t="n"/>
      <c r="H67" s="23" t="n"/>
      <c r="I67" s="13" t="n"/>
      <c r="J67" s="23" t="n"/>
      <c r="K67" s="23" t="n"/>
      <c r="L67" s="26" t="n"/>
      <c r="M67" s="30" t="n"/>
    </row>
    <row r="68" ht="15.75" customHeight="1">
      <c r="A68" s="31" t="n"/>
      <c r="B68" s="31" t="n"/>
      <c r="C68" s="31" t="inlineStr">
        <is>
          <t>I alt</t>
        </is>
      </c>
      <c r="D68" s="31" t="n"/>
      <c r="E68" s="31" t="n">
        <v>0</v>
      </c>
      <c r="F68" s="31" t="n">
        <v>0</v>
      </c>
      <c r="G68" s="31" t="n">
        <v>0</v>
      </c>
      <c r="H68" s="31" t="n">
        <v>0</v>
      </c>
      <c r="I68" s="31" t="n">
        <v>6</v>
      </c>
      <c r="J68" s="31" t="n">
        <v>0</v>
      </c>
      <c r="K68" s="31" t="n">
        <v>0</v>
      </c>
      <c r="L68" s="31">
        <f>SUM(L63:L67)</f>
        <v/>
      </c>
      <c r="M68" s="22">
        <f>SUM(M63:M67)</f>
        <v/>
      </c>
    </row>
    <row r="69" ht="15.75" customHeight="1">
      <c r="M69" s="32">
        <f>SUM(M68,M62,M49)</f>
        <v/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sqref="E4:K30 E31:H31 E32:K48 E49:M49 E50:K50 E62:G62 E68:M68 F51 H51:H62 I62 J51:J59 J62:J67 K62:M62 L63:M63" showDropDown="0" showInputMessage="0" showErrorMessage="1" allowBlank="1" type="decimal">
      <formula1>0</formula1>
      <formula2>10000</formula2>
    </dataValidation>
  </dataValidations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Rasmus Kastrup</dc:creator>
  <dcterms:created xsi:type="dcterms:W3CDTF">2025-08-27T08:20:53Z</dcterms:created>
  <dcterms:modified xsi:type="dcterms:W3CDTF">2026-07-16T08:12:07Z</dcterms:modified>
  <cp:lastModifiedBy>Chris Schellerup Andersen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279a6064-de09-4b91-9c87-8a4e7408e3ef_Enabled" fmtid="{D5CDD505-2E9C-101B-9397-08002B2CF9AE}" pid="2">
    <vt:lpwstr>true</vt:lpwstr>
  </property>
  <property name="MSIP_Label_279a6064-de09-4b91-9c87-8a4e7408e3ef_SetDate" fmtid="{D5CDD505-2E9C-101B-9397-08002B2CF9AE}" pid="3">
    <vt:lpwstr>2026-05-15T06:37:05Z</vt:lpwstr>
  </property>
  <property name="MSIP_Label_279a6064-de09-4b91-9c87-8a4e7408e3ef_Method" fmtid="{D5CDD505-2E9C-101B-9397-08002B2CF9AE}" pid="4">
    <vt:lpwstr>Standard</vt:lpwstr>
  </property>
  <property name="MSIP_Label_279a6064-de09-4b91-9c87-8a4e7408e3ef_Name" fmtid="{D5CDD505-2E9C-101B-9397-08002B2CF9AE}" pid="5">
    <vt:lpwstr>General label</vt:lpwstr>
  </property>
  <property name="MSIP_Label_279a6064-de09-4b91-9c87-8a4e7408e3ef_SiteId" fmtid="{D5CDD505-2E9C-101B-9397-08002B2CF9AE}" pid="6">
    <vt:lpwstr>81add563-410b-45b1-a650-9d7d8ad9ec31</vt:lpwstr>
  </property>
  <property name="MSIP_Label_279a6064-de09-4b91-9c87-8a4e7408e3ef_ActionId" fmtid="{D5CDD505-2E9C-101B-9397-08002B2CF9AE}" pid="7">
    <vt:lpwstr>21efdbbb-5911-4eac-9b74-f582815035f5</vt:lpwstr>
  </property>
  <property name="MSIP_Label_279a6064-de09-4b91-9c87-8a4e7408e3ef_ContentBits" fmtid="{D5CDD505-2E9C-101B-9397-08002B2CF9AE}" pid="8">
    <vt:lpwstr>0</vt:lpwstr>
  </property>
  <property name="MSIP_Label_279a6064-de09-4b91-9c87-8a4e7408e3ef_Tag" fmtid="{D5CDD505-2E9C-101B-9397-08002B2CF9AE}" pid="9">
    <vt:lpwstr>10, 3, 0, 1</vt:lpwstr>
  </property>
</Properties>
</file>